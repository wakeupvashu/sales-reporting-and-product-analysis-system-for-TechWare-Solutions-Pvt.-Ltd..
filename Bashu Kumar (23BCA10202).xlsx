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lv814\Downloads\"/>
    </mc:Choice>
  </mc:AlternateContent>
  <bookViews>
    <workbookView xWindow="0" yWindow="0" windowWidth="19200" windowHeight="7350" activeTab="1"/>
  </bookViews>
  <sheets>
    <sheet name="Sales Transactions" sheetId="1" r:id="rId1"/>
    <sheet name="Product Analysis" sheetId="2" r:id="rId2"/>
  </sheets>
  <calcPr calcId="162913"/>
</workbook>
</file>

<file path=xl/calcChain.xml><?xml version="1.0" encoding="utf-8"?>
<calcChain xmlns="http://schemas.openxmlformats.org/spreadsheetml/2006/main">
  <c r="C12" i="2" l="1"/>
  <c r="B12" i="2"/>
  <c r="B11" i="2"/>
  <c r="C10" i="2"/>
  <c r="B10" i="2"/>
  <c r="B9" i="2"/>
  <c r="C8" i="2"/>
  <c r="B8" i="2"/>
  <c r="C7" i="2"/>
  <c r="B7" i="2"/>
  <c r="B6" i="2"/>
  <c r="B5" i="2"/>
  <c r="B13" i="2" s="1"/>
  <c r="B31" i="1"/>
  <c r="B29" i="1"/>
  <c r="G25" i="1"/>
  <c r="G24" i="1"/>
  <c r="G23" i="1"/>
  <c r="G22" i="1"/>
  <c r="G21" i="1"/>
  <c r="G20" i="1"/>
  <c r="G19" i="1"/>
  <c r="G18" i="1"/>
  <c r="G17" i="1"/>
  <c r="G16" i="1"/>
  <c r="G15" i="1"/>
  <c r="G14" i="1"/>
  <c r="G13" i="1"/>
  <c r="G12" i="1"/>
  <c r="C9" i="2" s="1"/>
  <c r="G11" i="1"/>
  <c r="C11" i="2" s="1"/>
  <c r="G10" i="1"/>
  <c r="G9" i="1"/>
  <c r="C5" i="2" s="1"/>
  <c r="G8" i="1"/>
  <c r="G7" i="1"/>
  <c r="G6" i="1"/>
  <c r="C6" i="2" s="1"/>
  <c r="D10" i="2" l="1"/>
  <c r="D6" i="2"/>
  <c r="D9" i="2"/>
  <c r="D5" i="2"/>
  <c r="C13" i="2"/>
  <c r="D12" i="2"/>
  <c r="D8" i="2"/>
  <c r="D11" i="2"/>
  <c r="D7" i="2"/>
  <c r="B30" i="1"/>
  <c r="B32" i="1"/>
  <c r="B34" i="1"/>
  <c r="B33" i="1"/>
  <c r="D13" i="2" l="1"/>
</calcChain>
</file>

<file path=xl/sharedStrings.xml><?xml version="1.0" encoding="utf-8"?>
<sst xmlns="http://schemas.openxmlformats.org/spreadsheetml/2006/main" count="92" uniqueCount="67">
  <si>
    <t>TECHWARE SOLUTIONS PVT. LTD.</t>
  </si>
  <si>
    <t>Monthly Sales Report - January 2024</t>
  </si>
  <si>
    <t>Company: TechWare Solutions | Email: sales@techware.com | Phone: +91-11-4050-8888</t>
  </si>
  <si>
    <t>ID</t>
  </si>
  <si>
    <t>Date</t>
  </si>
  <si>
    <t>Product Name</t>
  </si>
  <si>
    <t>Quantity</t>
  </si>
  <si>
    <t>Unit Price</t>
  </si>
  <si>
    <t>Discount %</t>
  </si>
  <si>
    <t>Total Amount</t>
  </si>
  <si>
    <t>TW2024010001</t>
  </si>
  <si>
    <t>21-01-2024</t>
  </si>
  <si>
    <t>Desktop Workstation</t>
  </si>
  <si>
    <t>TW2024010002</t>
  </si>
  <si>
    <t>08-01-2024</t>
  </si>
  <si>
    <t>Keyboard Mechanical</t>
  </si>
  <si>
    <t>TW2024010003</t>
  </si>
  <si>
    <t>22-01-2024</t>
  </si>
  <si>
    <t>TW2024010004</t>
  </si>
  <si>
    <t>02-01-2024</t>
  </si>
  <si>
    <t>Laptop Pro 15</t>
  </si>
  <si>
    <t>TW2024010005</t>
  </si>
  <si>
    <t>TW2024010006</t>
  </si>
  <si>
    <t>23-01-2024</t>
  </si>
  <si>
    <t>External SSD 1TB</t>
  </si>
  <si>
    <t>TW2024010007</t>
  </si>
  <si>
    <t>19-01-2024</t>
  </si>
  <si>
    <t>Mouse Wireless</t>
  </si>
  <si>
    <t>TW2024010008</t>
  </si>
  <si>
    <t>25-01-2024</t>
  </si>
  <si>
    <t>Monitor 4K</t>
  </si>
  <si>
    <t>TW2024010009</t>
  </si>
  <si>
    <t>11-01-2024</t>
  </si>
  <si>
    <t>TW2024010010</t>
  </si>
  <si>
    <t>31-01-2024</t>
  </si>
  <si>
    <t>Webcam HD</t>
  </si>
  <si>
    <t>TW2024010011</t>
  </si>
  <si>
    <t>13-01-2024</t>
  </si>
  <si>
    <t>TW2024010012</t>
  </si>
  <si>
    <t>20-01-2024</t>
  </si>
  <si>
    <t>TW2024010013</t>
  </si>
  <si>
    <t>24-01-2024</t>
  </si>
  <si>
    <t>USB Hub</t>
  </si>
  <si>
    <t>TW2024010014</t>
  </si>
  <si>
    <t>30-01-2024</t>
  </si>
  <si>
    <t>TW2024010015</t>
  </si>
  <si>
    <t>27-01-2024</t>
  </si>
  <si>
    <t>TW2024010016</t>
  </si>
  <si>
    <t>TW2024010017</t>
  </si>
  <si>
    <t>TW2024010018</t>
  </si>
  <si>
    <t>28-01-2024</t>
  </si>
  <si>
    <t>TW2024010019</t>
  </si>
  <si>
    <t>15-01-2024</t>
  </si>
  <si>
    <t>TW2024010020</t>
  </si>
  <si>
    <t>12-01-2024</t>
  </si>
  <si>
    <t>SUMMARY REPORT</t>
  </si>
  <si>
    <t>Total Transactions:</t>
  </si>
  <si>
    <t>Total Revenue:</t>
  </si>
  <si>
    <t>Total Units Sold:</t>
  </si>
  <si>
    <t>Average Order Value:</t>
  </si>
  <si>
    <t>Highest Sale:</t>
  </si>
  <si>
    <t>Lowest Sale:</t>
  </si>
  <si>
    <t>Product-wise Sales Analysis</t>
  </si>
  <si>
    <t>Units Sold</t>
  </si>
  <si>
    <t>Total Sales</t>
  </si>
  <si>
    <t>Percentage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</si>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</sst>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%"/>
  </numFmts>
  <fonts count="10" x14ac:knownFonts="1">
    <font>
      <sz val="11"/>
      <color theme="1"/>
      <name val="Calibri"/>
      <family val="2"/>
      <scheme val="minor"/>
    </font>
    <font>
      <b/>
      <sz val="18"/>
      <color rgb="FFFFFFFF"/>
      <name val="Calibri"/>
    </font>
    <font>
      <b/>
      <sz val="12"/>
      <color rgb="FFFFFFFF"/>
      <name val="Calibri"/>
    </font>
    <font>
      <i/>
      <sz val="10"/>
      <name val="Calibri"/>
    </font>
    <font>
      <b/>
      <sz val="11"/>
      <color rgb="FFFFFFFF"/>
      <name val="Calibri"/>
    </font>
    <font>
      <b/>
      <sz val="11"/>
      <name val="Calibri"/>
    </font>
    <font>
      <b/>
      <sz val="11"/>
      <color rgb="FF003366"/>
      <name val="Calibri"/>
    </font>
    <font>
      <b/>
      <sz val="14"/>
      <color rgb="FFFFFFFF"/>
      <name val="Calibri"/>
    </font>
    <font>
      <b/>
      <i/>
      <sz val="11"/>
      <name val="Calibri"/>
    </font>
    <font>
      <b/>
      <sz val="11"/>
      <color rgb="FFFFFFFF"/>
      <name val="Calibri"/>
    </font>
  </fonts>
  <fills count="5">
    <fill>
      <patternFill patternType="none"/>
    </fill>
    <fill>
      <patternFill patternType="gray125"/>
    </fill>
    <fill>
      <patternFill patternType="solid">
        <fgColor rgb="FF003366"/>
        <bgColor rgb="FF003366"/>
      </patternFill>
    </fill>
    <fill>
      <patternFill patternType="solid">
        <fgColor rgb="FF0066CC"/>
        <bgColor rgb="FF0066CC"/>
      </patternFill>
    </fill>
    <fill>
      <patternFill patternType="solid">
        <fgColor rgb="FFE8F0F8"/>
        <bgColor rgb="FFE8F0F8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4" borderId="1" xfId="0" applyFill="1" applyBorder="1"/>
    <xf numFmtId="3" fontId="0" fillId="4" borderId="1" xfId="0" applyNumberFormat="1" applyFill="1" applyBorder="1"/>
    <xf numFmtId="0" fontId="0" fillId="0" borderId="1" xfId="0" applyBorder="1"/>
    <xf numFmtId="3" fontId="0" fillId="0" borderId="1" xfId="0" applyNumberFormat="1" applyBorder="1"/>
    <xf numFmtId="0" fontId="5" fillId="0" borderId="0" xfId="0" applyFont="1"/>
    <xf numFmtId="0" fontId="6" fillId="0" borderId="0" xfId="0" applyFont="1"/>
    <xf numFmtId="3" fontId="6" fillId="0" borderId="0" xfId="0" applyNumberFormat="1" applyFont="1"/>
    <xf numFmtId="0" fontId="4" fillId="3" borderId="1" xfId="0" applyFont="1" applyFill="1" applyBorder="1" applyAlignment="1">
      <alignment horizontal="center"/>
    </xf>
    <xf numFmtId="164" fontId="0" fillId="0" borderId="1" xfId="0" applyNumberFormat="1" applyBorder="1"/>
    <xf numFmtId="164" fontId="0" fillId="4" borderId="1" xfId="0" applyNumberFormat="1" applyFill="1" applyBorder="1"/>
    <xf numFmtId="0" fontId="9" fillId="2" borderId="0" xfId="0" applyFont="1" applyFill="1"/>
    <xf numFmtId="3" fontId="9" fillId="2" borderId="0" xfId="0" applyNumberFormat="1" applyFont="1" applyFill="1"/>
    <xf numFmtId="164" fontId="9" fillId="2" borderId="0" xfId="0" applyNumberFormat="1" applyFont="1" applyFill="1"/>
    <xf numFmtId="0" fontId="4" fillId="2" borderId="4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0" fillId="4" borderId="2" xfId="0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3" fontId="0" fillId="4" borderId="1" xfId="0" applyNumberFormat="1" applyFill="1" applyBorder="1" applyAlignment="1">
      <alignment horizontal="center"/>
    </xf>
    <xf numFmtId="3" fontId="0" fillId="4" borderId="3" xfId="0" applyNumberFormat="1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1" xfId="0" applyBorder="1" applyAlignment="1">
      <alignment horizontal="center"/>
    </xf>
    <xf numFmtId="3" fontId="0" fillId="0" borderId="1" xfId="0" applyNumberFormat="1" applyBorder="1" applyAlignment="1">
      <alignment horizontal="center"/>
    </xf>
    <xf numFmtId="3" fontId="0" fillId="0" borderId="3" xfId="0" applyNumberFormat="1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3" fontId="0" fillId="0" borderId="8" xfId="0" applyNumberFormat="1" applyBorder="1" applyAlignment="1">
      <alignment horizontal="center"/>
    </xf>
    <xf numFmtId="3" fontId="0" fillId="0" borderId="9" xfId="0" applyNumberFormat="1" applyBorder="1" applyAlignment="1">
      <alignment horizontal="center"/>
    </xf>
    <xf numFmtId="0" fontId="2" fillId="2" borderId="0" xfId="0" applyFont="1" applyFill="1"/>
    <xf numFmtId="0" fontId="0" fillId="0" borderId="0" xfId="0"/>
    <xf numFmtId="0" fontId="3" fillId="0" borderId="0" xfId="0" applyFont="1"/>
    <xf numFmtId="0" fontId="2" fillId="3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7" fillId="2" borderId="0" xfId="0" applyFont="1" applyFill="1" applyAlignment="1">
      <alignment horizontal="center"/>
    </xf>
    <xf numFmtId="0" fontId="8" fillId="0" borderId="0" xfId="0" applyFont="1"/>
  </cellXfs>
  <cellStyles count="1">
    <cellStyle name="Normal" xfId="0" builtinId="0"/>
  </cellStyles>
  <dxfs count="12">
    <dxf>
      <numFmt numFmtId="3" formatCode="#,##0"/>
      <alignment horizontal="center" textRotation="0" wrapText="0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numFmt numFmtId="3" formatCode="#,##0"/>
      <alignment horizont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scheme val="none"/>
      </font>
      <fill>
        <patternFill patternType="solid">
          <fgColor rgb="FF003366"/>
          <bgColor rgb="FF003366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id="1" name="Table1" displayName="Table1" ref="A5:G25" totalsRowShown="0" headerRowDxfId="11" dataDxfId="9" headerRowBorderDxfId="10" tableBorderDxfId="8" totalsRowBorderDxfId="7">
  <autoFilter ref="A5:G25"/>
  <tableColumns count="7">
    <tableColumn id="1" name="ID" dataDxfId="6"/>
    <tableColumn id="2" name="Date" dataDxfId="5"/>
    <tableColumn id="3" name="Product Name" dataDxfId="4"/>
    <tableColumn id="4" name="Quantity" dataDxfId="3"/>
    <tableColumn id="5" name="Unit Price" dataDxfId="2"/>
    <tableColumn id="6" name="Discount %" dataDxfId="1"/>
    <tableColumn id="7" name="Total Amount" dataDxfId="0">
      <calculatedColumnFormula>D6*E6*(1-F6/100)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4"/>
  <sheetViews>
    <sheetView topLeftCell="A16" workbookViewId="0">
      <selection activeCell="J5" sqref="J5"/>
    </sheetView>
  </sheetViews>
  <sheetFormatPr defaultRowHeight="14.5" x14ac:dyDescent="0.35"/>
  <cols>
    <col min="1" max="1" width="18.81640625" bestFit="1" customWidth="1"/>
    <col min="2" max="3" width="22" customWidth="1"/>
    <col min="4" max="4" width="12.7265625" bestFit="1" customWidth="1"/>
    <col min="5" max="5" width="13.453125" bestFit="1" customWidth="1"/>
    <col min="6" max="6" width="14.6328125" bestFit="1" customWidth="1"/>
    <col min="7" max="7" width="16.90625" bestFit="1" customWidth="1"/>
  </cols>
  <sheetData>
    <row r="1" spans="1:7" ht="30" customHeight="1" x14ac:dyDescent="0.35">
      <c r="A1" s="33" t="s">
        <v>0</v>
      </c>
      <c r="B1" s="30"/>
      <c r="C1" s="30"/>
      <c r="D1" s="30"/>
      <c r="E1" s="30"/>
      <c r="F1" s="30"/>
      <c r="G1" s="30"/>
    </row>
    <row r="2" spans="1:7" ht="25" customHeight="1" x14ac:dyDescent="0.35">
      <c r="A2" s="32" t="s">
        <v>1</v>
      </c>
      <c r="B2" s="30"/>
      <c r="C2" s="30"/>
      <c r="D2" s="30"/>
      <c r="E2" s="30"/>
      <c r="F2" s="30"/>
      <c r="G2" s="30"/>
    </row>
    <row r="3" spans="1:7" x14ac:dyDescent="0.35">
      <c r="A3" s="31" t="s">
        <v>2</v>
      </c>
      <c r="B3" s="30"/>
      <c r="C3" s="30"/>
      <c r="D3" s="30"/>
      <c r="E3" s="30"/>
      <c r="F3" s="30"/>
      <c r="G3" s="30"/>
    </row>
    <row r="4" spans="1:7" ht="10" customHeight="1" x14ac:dyDescent="0.35"/>
    <row r="5" spans="1:7" ht="20" customHeight="1" x14ac:dyDescent="0.35">
      <c r="A5" s="14" t="s">
        <v>3</v>
      </c>
      <c r="B5" s="15" t="s">
        <v>4</v>
      </c>
      <c r="C5" s="15" t="s">
        <v>5</v>
      </c>
      <c r="D5" s="15" t="s">
        <v>6</v>
      </c>
      <c r="E5" s="15" t="s">
        <v>7</v>
      </c>
      <c r="F5" s="15" t="s">
        <v>8</v>
      </c>
      <c r="G5" s="16" t="s">
        <v>9</v>
      </c>
    </row>
    <row r="6" spans="1:7" x14ac:dyDescent="0.35">
      <c r="A6" s="17" t="s">
        <v>10</v>
      </c>
      <c r="B6" s="18" t="s">
        <v>11</v>
      </c>
      <c r="C6" s="18" t="s">
        <v>12</v>
      </c>
      <c r="D6" s="18">
        <v>1</v>
      </c>
      <c r="E6" s="19">
        <v>120000</v>
      </c>
      <c r="F6" s="18">
        <v>10</v>
      </c>
      <c r="G6" s="20">
        <f t="shared" ref="G6:G25" si="0">D6*E6*(1-F6/100)</f>
        <v>108000</v>
      </c>
    </row>
    <row r="7" spans="1:7" x14ac:dyDescent="0.35">
      <c r="A7" s="21" t="s">
        <v>13</v>
      </c>
      <c r="B7" s="22" t="s">
        <v>14</v>
      </c>
      <c r="C7" s="22" t="s">
        <v>15</v>
      </c>
      <c r="D7" s="22">
        <v>3</v>
      </c>
      <c r="E7" s="23">
        <v>8500</v>
      </c>
      <c r="F7" s="22">
        <v>0</v>
      </c>
      <c r="G7" s="24">
        <f t="shared" si="0"/>
        <v>25500</v>
      </c>
    </row>
    <row r="8" spans="1:7" x14ac:dyDescent="0.35">
      <c r="A8" s="17" t="s">
        <v>16</v>
      </c>
      <c r="B8" s="18" t="s">
        <v>17</v>
      </c>
      <c r="C8" s="18" t="s">
        <v>12</v>
      </c>
      <c r="D8" s="18">
        <v>10</v>
      </c>
      <c r="E8" s="19">
        <v>120000</v>
      </c>
      <c r="F8" s="18">
        <v>15</v>
      </c>
      <c r="G8" s="20">
        <f t="shared" si="0"/>
        <v>1020000</v>
      </c>
    </row>
    <row r="9" spans="1:7" x14ac:dyDescent="0.35">
      <c r="A9" s="21" t="s">
        <v>18</v>
      </c>
      <c r="B9" s="22" t="s">
        <v>19</v>
      </c>
      <c r="C9" s="22" t="s">
        <v>20</v>
      </c>
      <c r="D9" s="22">
        <v>2</v>
      </c>
      <c r="E9" s="23">
        <v>85000</v>
      </c>
      <c r="F9" s="22">
        <v>5</v>
      </c>
      <c r="G9" s="24">
        <f t="shared" si="0"/>
        <v>161500</v>
      </c>
    </row>
    <row r="10" spans="1:7" x14ac:dyDescent="0.35">
      <c r="A10" s="17" t="s">
        <v>21</v>
      </c>
      <c r="B10" s="18" t="s">
        <v>14</v>
      </c>
      <c r="C10" s="18" t="s">
        <v>20</v>
      </c>
      <c r="D10" s="18">
        <v>9</v>
      </c>
      <c r="E10" s="19">
        <v>85000</v>
      </c>
      <c r="F10" s="18">
        <v>5</v>
      </c>
      <c r="G10" s="20">
        <f t="shared" si="0"/>
        <v>726750</v>
      </c>
    </row>
    <row r="11" spans="1:7" x14ac:dyDescent="0.35">
      <c r="A11" s="21" t="s">
        <v>22</v>
      </c>
      <c r="B11" s="22" t="s">
        <v>23</v>
      </c>
      <c r="C11" s="22" t="s">
        <v>24</v>
      </c>
      <c r="D11" s="22">
        <v>4</v>
      </c>
      <c r="E11" s="23">
        <v>12000</v>
      </c>
      <c r="F11" s="22">
        <v>15</v>
      </c>
      <c r="G11" s="24">
        <f t="shared" si="0"/>
        <v>40800</v>
      </c>
    </row>
    <row r="12" spans="1:7" x14ac:dyDescent="0.35">
      <c r="A12" s="17" t="s">
        <v>25</v>
      </c>
      <c r="B12" s="18" t="s">
        <v>26</v>
      </c>
      <c r="C12" s="18" t="s">
        <v>27</v>
      </c>
      <c r="D12" s="18">
        <v>13</v>
      </c>
      <c r="E12" s="19">
        <v>2500</v>
      </c>
      <c r="F12" s="18">
        <v>0</v>
      </c>
      <c r="G12" s="20">
        <f t="shared" si="0"/>
        <v>32500</v>
      </c>
    </row>
    <row r="13" spans="1:7" x14ac:dyDescent="0.35">
      <c r="A13" s="21" t="s">
        <v>28</v>
      </c>
      <c r="B13" s="22" t="s">
        <v>29</v>
      </c>
      <c r="C13" s="22" t="s">
        <v>30</v>
      </c>
      <c r="D13" s="22">
        <v>12</v>
      </c>
      <c r="E13" s="23">
        <v>35000</v>
      </c>
      <c r="F13" s="22">
        <v>15</v>
      </c>
      <c r="G13" s="24">
        <f t="shared" si="0"/>
        <v>357000</v>
      </c>
    </row>
    <row r="14" spans="1:7" x14ac:dyDescent="0.35">
      <c r="A14" s="17" t="s">
        <v>31</v>
      </c>
      <c r="B14" s="18" t="s">
        <v>32</v>
      </c>
      <c r="C14" s="18" t="s">
        <v>27</v>
      </c>
      <c r="D14" s="18">
        <v>3</v>
      </c>
      <c r="E14" s="19">
        <v>2500</v>
      </c>
      <c r="F14" s="18">
        <v>5</v>
      </c>
      <c r="G14" s="20">
        <f t="shared" si="0"/>
        <v>7125</v>
      </c>
    </row>
    <row r="15" spans="1:7" x14ac:dyDescent="0.35">
      <c r="A15" s="21" t="s">
        <v>33</v>
      </c>
      <c r="B15" s="22" t="s">
        <v>34</v>
      </c>
      <c r="C15" s="22" t="s">
        <v>35</v>
      </c>
      <c r="D15" s="22">
        <v>2</v>
      </c>
      <c r="E15" s="23">
        <v>5000</v>
      </c>
      <c r="F15" s="22">
        <v>0</v>
      </c>
      <c r="G15" s="24">
        <f t="shared" si="0"/>
        <v>10000</v>
      </c>
    </row>
    <row r="16" spans="1:7" x14ac:dyDescent="0.35">
      <c r="A16" s="17" t="s">
        <v>36</v>
      </c>
      <c r="B16" s="18" t="s">
        <v>37</v>
      </c>
      <c r="C16" s="18" t="s">
        <v>12</v>
      </c>
      <c r="D16" s="18">
        <v>6</v>
      </c>
      <c r="E16" s="19">
        <v>120000</v>
      </c>
      <c r="F16" s="18">
        <v>10</v>
      </c>
      <c r="G16" s="20">
        <f t="shared" si="0"/>
        <v>648000</v>
      </c>
    </row>
    <row r="17" spans="1:7" x14ac:dyDescent="0.35">
      <c r="A17" s="21" t="s">
        <v>38</v>
      </c>
      <c r="B17" s="22" t="s">
        <v>39</v>
      </c>
      <c r="C17" s="22" t="s">
        <v>27</v>
      </c>
      <c r="D17" s="22">
        <v>13</v>
      </c>
      <c r="E17" s="23">
        <v>2500</v>
      </c>
      <c r="F17" s="22">
        <v>0</v>
      </c>
      <c r="G17" s="24">
        <f t="shared" si="0"/>
        <v>32500</v>
      </c>
    </row>
    <row r="18" spans="1:7" x14ac:dyDescent="0.35">
      <c r="A18" s="17" t="s">
        <v>40</v>
      </c>
      <c r="B18" s="18" t="s">
        <v>41</v>
      </c>
      <c r="C18" s="18" t="s">
        <v>42</v>
      </c>
      <c r="D18" s="18">
        <v>9</v>
      </c>
      <c r="E18" s="19">
        <v>1500</v>
      </c>
      <c r="F18" s="18">
        <v>0</v>
      </c>
      <c r="G18" s="20">
        <f t="shared" si="0"/>
        <v>13500</v>
      </c>
    </row>
    <row r="19" spans="1:7" x14ac:dyDescent="0.35">
      <c r="A19" s="21" t="s">
        <v>43</v>
      </c>
      <c r="B19" s="22" t="s">
        <v>44</v>
      </c>
      <c r="C19" s="22" t="s">
        <v>24</v>
      </c>
      <c r="D19" s="22">
        <v>2</v>
      </c>
      <c r="E19" s="23">
        <v>12000</v>
      </c>
      <c r="F19" s="22">
        <v>10</v>
      </c>
      <c r="G19" s="24">
        <f t="shared" si="0"/>
        <v>21600</v>
      </c>
    </row>
    <row r="20" spans="1:7" x14ac:dyDescent="0.35">
      <c r="A20" s="17" t="s">
        <v>45</v>
      </c>
      <c r="B20" s="18" t="s">
        <v>46</v>
      </c>
      <c r="C20" s="18" t="s">
        <v>35</v>
      </c>
      <c r="D20" s="18">
        <v>10</v>
      </c>
      <c r="E20" s="19">
        <v>5000</v>
      </c>
      <c r="F20" s="18">
        <v>5</v>
      </c>
      <c r="G20" s="20">
        <f t="shared" si="0"/>
        <v>47500</v>
      </c>
    </row>
    <row r="21" spans="1:7" x14ac:dyDescent="0.35">
      <c r="A21" s="21" t="s">
        <v>47</v>
      </c>
      <c r="B21" s="22" t="s">
        <v>23</v>
      </c>
      <c r="C21" s="22" t="s">
        <v>12</v>
      </c>
      <c r="D21" s="22">
        <v>1</v>
      </c>
      <c r="E21" s="23">
        <v>120000</v>
      </c>
      <c r="F21" s="22">
        <v>5</v>
      </c>
      <c r="G21" s="24">
        <f t="shared" si="0"/>
        <v>114000</v>
      </c>
    </row>
    <row r="22" spans="1:7" x14ac:dyDescent="0.35">
      <c r="A22" s="17" t="s">
        <v>48</v>
      </c>
      <c r="B22" s="18" t="s">
        <v>29</v>
      </c>
      <c r="C22" s="18" t="s">
        <v>27</v>
      </c>
      <c r="D22" s="18">
        <v>2</v>
      </c>
      <c r="E22" s="19">
        <v>2500</v>
      </c>
      <c r="F22" s="18">
        <v>5</v>
      </c>
      <c r="G22" s="20">
        <f t="shared" si="0"/>
        <v>4750</v>
      </c>
    </row>
    <row r="23" spans="1:7" x14ac:dyDescent="0.35">
      <c r="A23" s="21" t="s">
        <v>49</v>
      </c>
      <c r="B23" s="22" t="s">
        <v>50</v>
      </c>
      <c r="C23" s="22" t="s">
        <v>12</v>
      </c>
      <c r="D23" s="22">
        <v>7</v>
      </c>
      <c r="E23" s="23">
        <v>120000</v>
      </c>
      <c r="F23" s="22">
        <v>10</v>
      </c>
      <c r="G23" s="24">
        <f t="shared" si="0"/>
        <v>756000</v>
      </c>
    </row>
    <row r="24" spans="1:7" x14ac:dyDescent="0.35">
      <c r="A24" s="17" t="s">
        <v>51</v>
      </c>
      <c r="B24" s="18" t="s">
        <v>52</v>
      </c>
      <c r="C24" s="18" t="s">
        <v>35</v>
      </c>
      <c r="D24" s="18">
        <v>3</v>
      </c>
      <c r="E24" s="19">
        <v>5000</v>
      </c>
      <c r="F24" s="18">
        <v>10</v>
      </c>
      <c r="G24" s="20">
        <f t="shared" si="0"/>
        <v>13500</v>
      </c>
    </row>
    <row r="25" spans="1:7" x14ac:dyDescent="0.35">
      <c r="A25" s="25" t="s">
        <v>53</v>
      </c>
      <c r="B25" s="26" t="s">
        <v>54</v>
      </c>
      <c r="C25" s="26" t="s">
        <v>15</v>
      </c>
      <c r="D25" s="26">
        <v>11</v>
      </c>
      <c r="E25" s="27">
        <v>8500</v>
      </c>
      <c r="F25" s="26">
        <v>10</v>
      </c>
      <c r="G25" s="28">
        <f t="shared" si="0"/>
        <v>84150</v>
      </c>
    </row>
    <row r="27" spans="1:7" ht="15.5" x14ac:dyDescent="0.35">
      <c r="A27" s="29" t="s">
        <v>55</v>
      </c>
      <c r="B27" s="30"/>
    </row>
    <row r="29" spans="1:7" x14ac:dyDescent="0.35">
      <c r="A29" s="5" t="s">
        <v>56</v>
      </c>
      <c r="B29" s="6">
        <f>COUNTA(A6:A25)</f>
        <v>20</v>
      </c>
    </row>
    <row r="30" spans="1:7" x14ac:dyDescent="0.35">
      <c r="A30" s="5" t="s">
        <v>57</v>
      </c>
      <c r="B30" s="7">
        <f>SUM(G6:G25)</f>
        <v>4224675</v>
      </c>
    </row>
    <row r="31" spans="1:7" x14ac:dyDescent="0.35">
      <c r="A31" s="5" t="s">
        <v>58</v>
      </c>
      <c r="B31" s="6">
        <f>SUM(D6:D25)</f>
        <v>123</v>
      </c>
    </row>
    <row r="32" spans="1:7" x14ac:dyDescent="0.35">
      <c r="A32" s="5" t="s">
        <v>59</v>
      </c>
      <c r="B32" s="7">
        <f>AVERAGE(G6:G25)</f>
        <v>211233.75</v>
      </c>
    </row>
    <row r="33" spans="1:2" x14ac:dyDescent="0.35">
      <c r="A33" s="5" t="s">
        <v>60</v>
      </c>
      <c r="B33" s="7">
        <f>MAX(G6:G25)</f>
        <v>1020000</v>
      </c>
    </row>
    <row r="34" spans="1:2" x14ac:dyDescent="0.35">
      <c r="A34" s="5" t="s">
        <v>61</v>
      </c>
      <c r="B34" s="7">
        <f>MIN(G6:G25)</f>
        <v>4750</v>
      </c>
    </row>
  </sheetData>
  <mergeCells count="4">
    <mergeCell ref="A27:B27"/>
    <mergeCell ref="A3:G3"/>
    <mergeCell ref="A2:G2"/>
    <mergeCell ref="A1:G1"/>
  </mergeCells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3"/>
  <sheetViews>
    <sheetView tabSelected="1" workbookViewId="0">
      <selection activeCell="A23" sqref="A23"/>
    </sheetView>
  </sheetViews>
  <sheetFormatPr defaultRowHeight="14.5" x14ac:dyDescent="0.35"/>
  <cols>
    <col min="1" max="1" width="22" customWidth="1"/>
    <col min="2" max="2" width="14" customWidth="1"/>
    <col min="3" max="3" width="16" customWidth="1"/>
    <col min="4" max="4" width="14" customWidth="1"/>
  </cols>
  <sheetData>
    <row r="1" spans="1:4" ht="25" customHeight="1" x14ac:dyDescent="0.45">
      <c r="A1" s="34" t="s">
        <v>0</v>
      </c>
      <c r="B1" s="30"/>
      <c r="C1" s="30"/>
      <c r="D1" s="30"/>
    </row>
    <row r="2" spans="1:4" x14ac:dyDescent="0.35">
      <c r="A2" s="35" t="s">
        <v>62</v>
      </c>
      <c r="B2" s="30"/>
      <c r="C2" s="30"/>
      <c r="D2" s="30"/>
    </row>
    <row r="4" spans="1:4" x14ac:dyDescent="0.35">
      <c r="A4" s="8" t="s">
        <v>5</v>
      </c>
      <c r="B4" s="8" t="s">
        <v>63</v>
      </c>
      <c r="C4" s="8" t="s">
        <v>64</v>
      </c>
      <c r="D4" s="8" t="s">
        <v>65</v>
      </c>
    </row>
    <row r="5" spans="1:4" x14ac:dyDescent="0.35">
      <c r="A5" s="3" t="s">
        <v>20</v>
      </c>
      <c r="B5" s="3">
        <f>SUMIF('Sales Transactions'!$C$6:$C$25,A5,'Sales Transactions'!$D$6:$D$25)</f>
        <v>11</v>
      </c>
      <c r="C5" s="4">
        <f>SUMIF('Sales Transactions'!$C$6:$C$25,A5,'Sales Transactions'!$G$6:$G$25)</f>
        <v>888250</v>
      </c>
      <c r="D5" s="9">
        <f t="shared" ref="D5:D12" si="0">IF(SUM($C$5:$C$12)=0,0,C5/SUM($C$5:$C$12))</f>
        <v>0.21025285968743157</v>
      </c>
    </row>
    <row r="6" spans="1:4" x14ac:dyDescent="0.35">
      <c r="A6" s="1" t="s">
        <v>12</v>
      </c>
      <c r="B6" s="1">
        <f>SUMIF('Sales Transactions'!$C$6:$C$25,A6,'Sales Transactions'!$D$6:$D$25)</f>
        <v>25</v>
      </c>
      <c r="C6" s="2">
        <f>SUMIF('Sales Transactions'!$C$6:$C$25,A6,'Sales Transactions'!$G$6:$G$25)</f>
        <v>2646000</v>
      </c>
      <c r="D6" s="10">
        <f t="shared" si="0"/>
        <v>0.62632036783894618</v>
      </c>
    </row>
    <row r="7" spans="1:4" x14ac:dyDescent="0.35">
      <c r="A7" s="3" t="s">
        <v>30</v>
      </c>
      <c r="B7" s="3">
        <f>SUMIF('Sales Transactions'!$C$6:$C$25,A7,'Sales Transactions'!$D$6:$D$25)</f>
        <v>12</v>
      </c>
      <c r="C7" s="4">
        <f>SUMIF('Sales Transactions'!$C$6:$C$25,A7,'Sales Transactions'!$G$6:$G$25)</f>
        <v>357000</v>
      </c>
      <c r="D7" s="9">
        <f t="shared" si="0"/>
        <v>8.4503541692556236E-2</v>
      </c>
    </row>
    <row r="8" spans="1:4" x14ac:dyDescent="0.35">
      <c r="A8" s="1" t="s">
        <v>15</v>
      </c>
      <c r="B8" s="1">
        <f>SUMIF('Sales Transactions'!$C$6:$C$25,A8,'Sales Transactions'!$D$6:$D$25)</f>
        <v>14</v>
      </c>
      <c r="C8" s="2">
        <f>SUMIF('Sales Transactions'!$C$6:$C$25,A8,'Sales Transactions'!$G$6:$G$25)</f>
        <v>109650</v>
      </c>
      <c r="D8" s="10">
        <f t="shared" si="0"/>
        <v>2.5954659234142273E-2</v>
      </c>
    </row>
    <row r="9" spans="1:4" x14ac:dyDescent="0.35">
      <c r="A9" s="3" t="s">
        <v>27</v>
      </c>
      <c r="B9" s="3">
        <f>SUMIF('Sales Transactions'!$C$6:$C$25,A9,'Sales Transactions'!$D$6:$D$25)</f>
        <v>31</v>
      </c>
      <c r="C9" s="4">
        <f>SUMIF('Sales Transactions'!$C$6:$C$25,A9,'Sales Transactions'!$G$6:$G$25)</f>
        <v>76875</v>
      </c>
      <c r="D9" s="9">
        <f t="shared" si="0"/>
        <v>1.8196666015729019E-2</v>
      </c>
    </row>
    <row r="10" spans="1:4" x14ac:dyDescent="0.35">
      <c r="A10" s="1" t="s">
        <v>35</v>
      </c>
      <c r="B10" s="1">
        <f>SUMIF('Sales Transactions'!$C$6:$C$25,A10,'Sales Transactions'!$D$6:$D$25)</f>
        <v>15</v>
      </c>
      <c r="C10" s="2">
        <f>SUMIF('Sales Transactions'!$C$6:$C$25,A10,'Sales Transactions'!$G$6:$G$25)</f>
        <v>71000</v>
      </c>
      <c r="D10" s="10">
        <f t="shared" si="0"/>
        <v>1.680602649907981E-2</v>
      </c>
    </row>
    <row r="11" spans="1:4" x14ac:dyDescent="0.35">
      <c r="A11" s="3" t="s">
        <v>24</v>
      </c>
      <c r="B11" s="3">
        <f>SUMIF('Sales Transactions'!$C$6:$C$25,A11,'Sales Transactions'!$D$6:$D$25)</f>
        <v>6</v>
      </c>
      <c r="C11" s="4">
        <f>SUMIF('Sales Transactions'!$C$6:$C$25,A11,'Sales Transactions'!$G$6:$G$25)</f>
        <v>62400</v>
      </c>
      <c r="D11" s="9">
        <f t="shared" si="0"/>
        <v>1.4770366951303947E-2</v>
      </c>
    </row>
    <row r="12" spans="1:4" x14ac:dyDescent="0.35">
      <c r="A12" s="1" t="s">
        <v>42</v>
      </c>
      <c r="B12" s="1">
        <f>SUMIF('Sales Transactions'!$C$6:$C$25,A12,'Sales Transactions'!$D$6:$D$25)</f>
        <v>9</v>
      </c>
      <c r="C12" s="2">
        <f>SUMIF('Sales Transactions'!$C$6:$C$25,A12,'Sales Transactions'!$G$6:$G$25)</f>
        <v>13500</v>
      </c>
      <c r="D12" s="10">
        <f t="shared" si="0"/>
        <v>3.1955120808109501E-3</v>
      </c>
    </row>
    <row r="13" spans="1:4" x14ac:dyDescent="0.35">
      <c r="A13" s="11" t="s">
        <v>66</v>
      </c>
      <c r="B13" s="11">
        <f>SUM(B5:B12)</f>
        <v>123</v>
      </c>
      <c r="C13" s="12">
        <f>SUM(C5:C12)</f>
        <v>4224675</v>
      </c>
      <c r="D13" s="13">
        <f>SUM(D5:D12)</f>
        <v>1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Sales Transactions</vt:lpstr>
      <vt:lpstr>Product 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Lucky Verma</cp:lastModifiedBy>
  <dcterms:created xsi:type="dcterms:W3CDTF">2026-04-09T10:43:56Z</dcterms:created>
  <dcterms:modified xsi:type="dcterms:W3CDTF">2026-04-09T11:22:05Z</dcterms:modified>
</cp:coreProperties>
</file>